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02" documentId="11_77E0E65BA4682AC65E9A93EA4535A4D85EC13015" xr6:coauthVersionLast="47" xr6:coauthVersionMax="47" xr10:uidLastSave="{DA04489A-38AF-4944-92BB-F50AC4A10327}"/>
  <bookViews>
    <workbookView xWindow="0" yWindow="0" windowWidth="0" windowHeight="0" xr2:uid="{00000000-000D-0000-FFFF-FFFF00000000}"/>
  </bookViews>
  <sheets>
    <sheet name="DevO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SZsI7OyYZQ7IwXW0mUdm3YR5wGGZii0aVRR/QTm4bk="/>
    </ext>
  </extLst>
</workbook>
</file>

<file path=xl/calcChain.xml><?xml version="1.0" encoding="utf-8"?>
<calcChain xmlns="http://schemas.openxmlformats.org/spreadsheetml/2006/main">
  <c r="AK11" i="1" l="1"/>
  <c r="AK12" i="1"/>
  <c r="AK13" i="1"/>
  <c r="AK14" i="1"/>
  <c r="AK15" i="1"/>
  <c r="AK16" i="1"/>
  <c r="AK17" i="1"/>
  <c r="AK18" i="1"/>
  <c r="AK19" i="1"/>
  <c r="AK20" i="1"/>
  <c r="AK21" i="1"/>
  <c r="AK22" i="1"/>
  <c r="AK10" i="1"/>
  <c r="AJ10" i="1"/>
  <c r="AL18" i="1"/>
  <c r="AL19" i="1"/>
  <c r="AL20" i="1"/>
  <c r="AL21" i="1"/>
  <c r="AL22" i="1"/>
  <c r="AL23" i="1"/>
  <c r="AJ18" i="1"/>
  <c r="AJ19" i="1"/>
  <c r="AJ20" i="1"/>
  <c r="AJ21" i="1"/>
  <c r="AJ22" i="1"/>
  <c r="AJ23" i="1"/>
  <c r="AI18" i="1"/>
  <c r="AI19" i="1"/>
  <c r="AI20" i="1"/>
  <c r="AI21" i="1"/>
  <c r="AI22" i="1"/>
  <c r="AI23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AL17" i="1"/>
  <c r="AJ17" i="1"/>
  <c r="AI17" i="1"/>
  <c r="AL16" i="1"/>
  <c r="AJ16" i="1"/>
  <c r="AI16" i="1"/>
  <c r="AL15" i="1"/>
  <c r="AJ15" i="1"/>
  <c r="AI15" i="1"/>
  <c r="AL14" i="1"/>
  <c r="AJ14" i="1"/>
  <c r="AI14" i="1"/>
  <c r="AL13" i="1"/>
  <c r="AJ13" i="1"/>
  <c r="AI13" i="1"/>
  <c r="AL12" i="1"/>
  <c r="AJ12" i="1"/>
  <c r="AI12" i="1"/>
  <c r="AL11" i="1"/>
  <c r="AJ11" i="1"/>
  <c r="AI11" i="1"/>
  <c r="AL10" i="1"/>
  <c r="A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tc={1945C2D5-FD25-4947-BFFD-040FC161DB16}</author>
    <author>tc={2455DEEE-C0BD-474A-9A1A-C8F58FAD3EE8}</author>
    <author>tc={3BFEC37F-C106-43A7-95D6-EA86C59395FB}</author>
    <author>tc={D942CD19-6C70-4298-AC4E-78D7815F51BB}</author>
    <author>tc={D4C50313-4839-4240-AA54-EF66EEEB8A87}</author>
    <author>tc={55DC8005-425B-4234-96FA-FDEC60527870}</author>
    <author>tc={FA3D5E3F-4DD8-49AA-94A0-D1DF7A701A83}</author>
    <author>tc={0E331C75-4A34-402F-BD71-26576DD87589}</author>
    <author>tc={FE2FDA85-A479-499E-AEBF-798810501DC3}</author>
    <author>Vengleab So</author>
    <author>tc={6843F825-9DD9-4A63-8EAF-55F4CA6B80FC}</author>
    <author>tc={BDA62589-3506-408C-90BC-2F1ECB4B12BB}</author>
    <author>tc={DBCF2E18-FA74-424A-B55D-5634657F0B85}</author>
    <author>tc={DAC2C538-4A31-49EB-8AA6-88ACCBD876A1}</author>
    <author>tc={EAB88337-1FCF-4BFC-9247-5E7AC4C9A2D2}</author>
    <author>tc={270A5403-7FC6-49F4-A6C3-4049C79BCDE9}</author>
    <author>tc={1A5FC4DF-0DBE-42E9-AB57-84ACD85936C2}</author>
    <author>tc={D4343507-1034-41FB-9566-122BEDDC67B6}</author>
  </authors>
  <commentList>
    <comment ref="Z10" authorId="0" shapeId="0" xr:uid="{1945C2D5-FD25-4947-BFFD-040FC161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Reason: still working on tasks </t>
      </text>
    </comment>
    <comment ref="AD10" authorId="1" shapeId="0" xr:uid="{2455DEEE-C0BD-474A-9A1A-C8F58FAD3EE8}">
      <text>
        <t>[Threaded comment]
Your version of Excel allows you to read this threaded comment; however, any edits to it will get removed if the file is opened in a newer version of Excel. Learn more: https://go.microsoft.com/fwlink/?linkid=870924
Comment:
    At homeland</t>
      </text>
    </comment>
    <comment ref="A11" authorId="2" shapeId="0" xr:uid="{3BFEC37F-C106-43A7-95D6-EA86C59395F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</t>
      </text>
    </comment>
    <comment ref="B11" authorId="3" shapeId="0" xr:uid="{D942CD19-6C70-4298-AC4E-78D7815F51B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H11" authorId="4" shapeId="0" xr:uid="{D4C50313-4839-4240-AA54-EF66EEEB8A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asked permission.</t>
      </text>
    </comment>
    <comment ref="AB12" authorId="5" shapeId="0" xr:uid="{55DC8005-425B-4234-96FA-FDEC60527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Personal Issue</t>
      </text>
    </comment>
    <comment ref="AE12" authorId="6" shapeId="0" xr:uid="{FA3D5E3F-4DD8-49AA-94A0-D1DF7A701A83}">
      <text>
        <t>[Threaded comment]
Your version of Excel allows you to read this threaded comment; however, any edits to it will get removed if the file is opened in a newer version of Excel. Learn more: https://go.microsoft.com/fwlink/?linkid=870924
Comment:
    urgent staff</t>
      </text>
    </comment>
    <comment ref="L13" authorId="7" shapeId="0" xr:uid="{0E331C75-4A34-402F-BD71-26576DD875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asked permission because he not feeling well.</t>
      </text>
    </comment>
    <comment ref="O13" authorId="8" shapeId="0" xr:uid="{FE2FDA85-A479-499E-AEBF-79881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Z14" authorId="9" shapeId="0" xr:uid="{F508F86A-8083-41DA-9880-A723D87BF897}">
      <text>
        <r>
          <rPr>
            <sz val="11"/>
            <color theme="1"/>
            <rFont val="Calibri"/>
            <scheme val="minor"/>
          </rPr>
          <t>Go to homeland for ghost festival</t>
        </r>
      </text>
    </comment>
    <comment ref="O15" authorId="10" shapeId="0" xr:uid="{6843F825-9DD9-4A63-8EAF-55F4CA6B80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O16" authorId="11" shapeId="0" xr:uid="{BDA62589-3506-408C-90BC-2F1ECB4B12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AC16" authorId="12" shapeId="0" xr:uid="{DBCF2E18-FA74-424A-B55D-5634657F0B85}">
      <text>
        <t>[Threaded comment]
Your version of Excel allows you to read this threaded comment; however, any edits to it will get removed if the file is opened in a newer version of Excel. Learn more: https://go.microsoft.com/fwlink/?linkid=870924
Comment:
     Attending a workshop</t>
      </text>
    </comment>
    <comment ref="AB17" authorId="13" shapeId="0" xr:uid="{DAC2C538-4A31-49EB-8AA6-88ACCBD876A1}">
      <text>
        <t>[Threaded comment]
Your version of Excel allows you to read this threaded comment; however, any edits to it will get removed if the file is opened in a newer version of Excel. Learn more: https://go.microsoft.com/fwlink/?linkid=870924
Comment:
    urgent matter and need to go to the province</t>
      </text>
    </comment>
    <comment ref="B18" authorId="14" shapeId="0" xr:uid="{EAB88337-1FCF-4BFC-9247-5E7AC4C9A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participating in a 1 month workshop in China</t>
      </text>
    </comment>
    <comment ref="X19" authorId="15" shapeId="0" xr:uid="{270A5403-7FC6-49F4-A6C3-4049C79BCDE9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permission because he going to hometown</t>
      </text>
    </comment>
    <comment ref="AB19" authorId="16" shapeId="0" xr:uid="{1A5FC4DF-0DBE-42E9-AB57-84ACD85936C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mission on province.</t>
      </text>
    </comment>
    <comment ref="P23" authorId="17" shapeId="0" xr:uid="{D4343507-1034-41FB-9566-122BEDDC67B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Informed</t>
      </text>
    </comment>
  </commentList>
</comments>
</file>

<file path=xl/sharedStrings.xml><?xml version="1.0" encoding="utf-8"?>
<sst xmlns="http://schemas.openxmlformats.org/spreadsheetml/2006/main" count="461" uniqueCount="67">
  <si>
    <t>Student Attendance Sheet</t>
  </si>
  <si>
    <t>Instructor:       So Vengleab                                                                                                                                                                             Room:                    207, 2nd Floor 
Subject:               DevOps Tools and develop Enterprise Applications                                                                                                    Time:                      1:00 AM - 4:00 PM</t>
  </si>
  <si>
    <t>Date: (MM/DD)</t>
  </si>
  <si>
    <t>Total</t>
  </si>
  <si>
    <t>No.</t>
  </si>
  <si>
    <t>Name</t>
  </si>
  <si>
    <t>Sex</t>
  </si>
  <si>
    <t>Course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</si>
  <si>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</si>
  <si>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</si>
  <si>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</si>
  <si>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</si>
  <si>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</si>
  <si>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</si>
  <si>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</si>
  <si>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</si>
  <si>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</si>
  <si>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</si>
  <si>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</si>
  <si>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</si>
  <si>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</si>
  <si>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</si>
  <si>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</si>
  <si>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</si>
  <si>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</si>
  <si>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</si>
  <si>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</si>
  <si>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</si>
  <si>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</si>
  <si>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</si>
  <si>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</si>
  <si>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</si>
  <si>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</si>
  <si>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</si>
  <si>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</si>
  <si>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</si>
  <si>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</si>
  <si>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</si>
  <si>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</t>
  </si>
  <si>
    <t>E</t>
  </si>
  <si>
    <t>L</t>
  </si>
  <si>
    <t>A</t>
  </si>
  <si>
    <t>Chan Panha</t>
  </si>
  <si>
    <t>M</t>
  </si>
  <si>
    <t>AW</t>
  </si>
  <si>
    <t>Chum Ratanakchentria</t>
  </si>
  <si>
    <t>F</t>
  </si>
  <si>
    <t>Eang Montra</t>
  </si>
  <si>
    <t>Eung Laimeng</t>
  </si>
  <si>
    <t>Soeun Kongsovann</t>
  </si>
  <si>
    <t>Kril Darith</t>
  </si>
  <si>
    <t>Mao Kolbotr Pisssoth</t>
  </si>
  <si>
    <t>Ny Clinton</t>
  </si>
  <si>
    <t>Phok Keomonnyratanak</t>
  </si>
  <si>
    <t>USB1</t>
  </si>
  <si>
    <t>Rith Sokha Neadh</t>
  </si>
  <si>
    <t>USB2</t>
  </si>
  <si>
    <t>Sat Dona</t>
  </si>
  <si>
    <t>USB3</t>
  </si>
  <si>
    <t>SOPHEAP Neary</t>
  </si>
  <si>
    <t>USB4</t>
  </si>
  <si>
    <t>Srun Chanmonika</t>
  </si>
  <si>
    <t>USB5</t>
  </si>
  <si>
    <t>Tem Lyhor</t>
  </si>
  <si>
    <t>USB9</t>
  </si>
  <si>
    <r>
      <rPr>
        <b/>
        <sz val="11"/>
        <color theme="1"/>
        <rFont val="Arial"/>
      </rPr>
      <t xml:space="preserve">Legend:    </t>
    </r>
    <r>
      <rPr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  </t>
    </r>
  </si>
  <si>
    <r>
      <rPr>
        <sz val="11"/>
        <color theme="1"/>
        <rFont val="Arial"/>
      </rPr>
      <t xml:space="preserve">      </t>
    </r>
    <r>
      <rPr>
        <b/>
        <sz val="11"/>
        <color theme="1"/>
        <rFont val="Arial"/>
      </rPr>
      <t>P</t>
    </r>
    <r>
      <rPr>
        <sz val="11"/>
        <color theme="1"/>
        <rFont val="Arial"/>
      </rPr>
      <t xml:space="preserve"> - Present                               </t>
    </r>
    <r>
      <rPr>
        <b/>
        <sz val="11"/>
        <color theme="1"/>
        <rFont val="Arial"/>
      </rPr>
      <t>L</t>
    </r>
    <r>
      <rPr>
        <sz val="11"/>
        <color theme="1"/>
        <rFont val="Arial"/>
      </rPr>
      <t xml:space="preserve">-Late                                       </t>
    </r>
    <r>
      <rPr>
        <b/>
        <sz val="11"/>
        <color theme="1"/>
        <rFont val="Arial"/>
      </rPr>
      <t xml:space="preserve">A </t>
    </r>
    <r>
      <rPr>
        <sz val="11"/>
        <color theme="1"/>
        <rFont val="Arial"/>
      </rPr>
      <t xml:space="preserve">- Absent                                 </t>
    </r>
    <r>
      <rPr>
        <b/>
        <sz val="11"/>
        <color theme="1"/>
        <rFont val="Arial"/>
      </rPr>
      <t>E</t>
    </r>
    <r>
      <rPr>
        <sz val="11"/>
        <color theme="1"/>
        <rFont val="Arial"/>
      </rPr>
      <t xml:space="preserve"> - Excuse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</si>
</sst>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5">
    <font>
      <sz val="11"/>
      <color theme="1"/>
      <name val="Calibri"/>
      <scheme val="minor"/>
    </font>
    <font>
      <b/>
      <sz val="16"/>
      <color theme="1"/>
      <name val="Georgia"/>
    </font>
    <font>
      <sz val="11"/>
      <color theme="1"/>
      <name val="Georgia"/>
    </font>
    <font>
      <sz val="11"/>
      <color theme="1"/>
      <name val="Calibri"/>
    </font>
    <font>
      <b/>
      <sz val="11"/>
      <color theme="1"/>
      <name val="Georgia"/>
    </font>
    <font>
      <sz val="11"/>
      <name val="Calibri"/>
    </font>
    <font>
      <sz val="11"/>
      <color rgb="FF000000"/>
      <name val="Georgia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  <charset val="1"/>
    </font>
    <font>
      <sz val="11"/>
      <color theme="1"/>
      <name val="Georgia"/>
      <charset val="1"/>
    </font>
    <font>
      <sz val="11"/>
      <color rgb="FF0A53A8"/>
      <name val="Calibri"/>
      <charset val="1"/>
    </font>
    <font>
      <sz val="11"/>
      <color rgb="FFFFCFC9"/>
      <name val="Calibri"/>
      <charset val="1"/>
    </font>
    <font>
      <sz val="11"/>
      <color rgb="FF473821"/>
      <name val="Calibri"/>
      <charset val="1"/>
    </font>
    <font>
      <sz val="11"/>
      <color rgb="FFB10202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64" fontId="2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" fillId="0" borderId="0" xfId="0" applyFont="1"/>
    <xf numFmtId="0" fontId="11" fillId="0" borderId="3" xfId="0" applyFont="1" applyBorder="1" applyAlignment="1">
      <alignment horizontal="center" readingOrder="1"/>
    </xf>
    <xf numFmtId="0" fontId="11" fillId="0" borderId="6" xfId="0" applyFont="1" applyBorder="1" applyAlignment="1">
      <alignment horizontal="center" readingOrder="1"/>
    </xf>
    <xf numFmtId="0" fontId="12" fillId="0" borderId="6" xfId="0" applyFont="1" applyBorder="1" applyAlignment="1">
      <alignment horizontal="center" readingOrder="1"/>
    </xf>
    <xf numFmtId="0" fontId="11" fillId="0" borderId="7" xfId="0" applyFont="1" applyBorder="1" applyAlignment="1">
      <alignment horizontal="center" readingOrder="1"/>
    </xf>
    <xf numFmtId="0" fontId="11" fillId="0" borderId="8" xfId="0" applyFont="1" applyBorder="1" applyAlignment="1">
      <alignment horizontal="center" readingOrder="1"/>
    </xf>
    <xf numFmtId="0" fontId="13" fillId="0" borderId="8" xfId="0" applyFont="1" applyBorder="1" applyAlignment="1">
      <alignment horizontal="center" readingOrder="1"/>
    </xf>
    <xf numFmtId="0" fontId="12" fillId="0" borderId="7" xfId="0" applyFont="1" applyBorder="1" applyAlignment="1">
      <alignment horizontal="center" readingOrder="1"/>
    </xf>
    <xf numFmtId="0" fontId="12" fillId="0" borderId="8" xfId="0" applyFont="1" applyBorder="1" applyAlignment="1">
      <alignment horizontal="center" readingOrder="1"/>
    </xf>
    <xf numFmtId="0" fontId="14" fillId="0" borderId="8" xfId="0" applyFont="1" applyBorder="1" applyAlignment="1">
      <alignment horizontal="center" readingOrder="1"/>
    </xf>
    <xf numFmtId="0" fontId="14" fillId="0" borderId="7" xfId="0" applyFont="1" applyBorder="1" applyAlignment="1">
      <alignment horizontal="center" readingOrder="1"/>
    </xf>
    <xf numFmtId="0" fontId="10" fillId="0" borderId="6" xfId="0" applyFont="1" applyBorder="1" applyAlignment="1">
      <alignment horizontal="center" readingOrder="1"/>
    </xf>
    <xf numFmtId="0" fontId="10" fillId="0" borderId="8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9" fillId="0" borderId="7" xfId="0" applyFont="1" applyBorder="1" applyAlignment="1">
      <alignment horizontal="center" readingOrder="1"/>
    </xf>
    <xf numFmtId="0" fontId="9" fillId="4" borderId="7" xfId="0" applyFont="1" applyFill="1" applyBorder="1" applyAlignment="1">
      <alignment horizontal="center" readingOrder="1"/>
    </xf>
    <xf numFmtId="0" fontId="9" fillId="4" borderId="8" xfId="0" applyFont="1" applyFill="1" applyBorder="1" applyAlignment="1">
      <alignment horizontal="center" readingOrder="1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/>
    <xf numFmtId="0" fontId="5" fillId="0" borderId="2" xfId="0" applyFont="1" applyBorder="1" applyAlignment="1"/>
    <xf numFmtId="0" fontId="5" fillId="0" borderId="5" xfId="0" applyFont="1" applyBorder="1" applyAlignment="1"/>
  </cellXfs>
  <cellStyles count="1">
    <cellStyle name="Normal" xfId="0" builtinId="0"/>
  </cellStyles>
  <dxfs count="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color rgb="FF9C0006"/>
      </font>
    </dxf>
    <dxf>
      <font>
        <b/>
        <i val="0"/>
        <color rgb="FF00B0F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61912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heng Hath" id="{D148DF23-0E8B-4BDB-A073-D1BB24C69962}" userId="S::kheng_hath@tuxglobalinstitute.edu.kh::57df3739-c433-430b-8ca0-b4c441ee5d15" providerId="AD"/>
  <person displayName="Vengleab So" id="{E193429D-95C7-4F86-8233-7552E7D0E02B}" userId="S::vengleab_so@tuxglobalinstitute.edu.kh::ddfecafe-1968-4b6c-9e95-6f063d9304cb" providerId="AD"/>
  <person displayName="Phallim SOEUR" id="{C26EBE42-EEB1-418C-9DAA-1751A844B8E4}" userId="S::phallim_soeur@tuxglobalinstitute.edu.kh::43eb98c8-cda6-45f2-ac3e-be091ae44ef1" providerId="AD"/>
  <person displayName="Rothvatey Rin" id="{FB8C0708-C4A5-469B-9FFA-67502CBEB96E}" userId="S::rothvatey_rin@tuxglobalinstitute.edu.kh::c01d201b-f1f3-4c6d-b909-3041f961db86" providerId="AD"/>
  <person displayName="Sovanndy Srey" id="{237D6664-B246-4C74-A2B2-546652BE6DCC}" userId="S::sovanndy_srey@tuxglobalinstitute.edu.kh::10dc533e-4fe1-49d2-88f9-592d1125e10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9382B-C828-4B05-99A4-4D12943D3CC6}" name="Table_1" displayName="Table_1" ref="B10:B23" headerRowCount="0" headerRowDxfId="3" dataDxfId="2" totalsRowDxfId="1">
  <tableColumns count="1">
    <tableColumn id="1" xr3:uid="{1774D047-A4F4-4094-990B-C3ADC837B0CD}" name="Column1" dataDxfId="0"/>
  </tableColumns>
  <tableStyleInfo name="Database Syste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09-06T08:50:43.21" personId="{E193429D-95C7-4F86-8233-7552E7D0E02B}" id="{1945C2D5-FD25-4947-BFFD-040FC161DB16}">
    <text>Reason: still working on tasks </text>
  </threadedComment>
  <threadedComment ref="AD10" dT="2025-09-27T06:26:20.01" personId="{E193429D-95C7-4F86-8233-7552E7D0E02B}" id="{2455DEEE-C0BD-474A-9A1A-C8F58FAD3EE8}">
    <text>At homeland</text>
  </threadedComment>
  <threadedComment ref="A11" dT="2025-07-07T07:19:41.70" personId="{C26EBE42-EEB1-418C-9DAA-1751A844B8E4}" id="{3BFEC37F-C106-43A7-95D6-EA86C59395FB}">
    <text>Drop</text>
  </threadedComment>
  <threadedComment ref="B11" dT="2025-07-29T08:01:09.53" personId="{C26EBE42-EEB1-418C-9DAA-1751A844B8E4}" id="{D942CD19-6C70-4298-AC4E-78D7815F51BB}">
    <text>Dropped</text>
  </threadedComment>
  <threadedComment ref="H11" dT="2025-07-11T06:56:24.26" personId="{D148DF23-0E8B-4BDB-A073-D1BB24C69962}" id="{D4C50313-4839-4240-AA54-EF66EEEB8A87}">
    <text>student asked permission.</text>
  </threadedComment>
  <threadedComment ref="AB12" dT="2025-09-15T01:15:48.49" personId="{237D6664-B246-4C74-A2B2-546652BE6DCC}" id="{55DC8005-425B-4234-96FA-FDEC60527870}">
    <text>Personal Issue</text>
  </threadedComment>
  <threadedComment ref="AE12" dT="2025-10-04T02:23:01.04" personId="{FB8C0708-C4A5-469B-9FFA-67502CBEB96E}" id="{FA3D5E3F-4DD8-49AA-94A0-D1DF7A701A83}">
    <text>urgent staff</text>
  </threadedComment>
  <threadedComment ref="L13" dT="2025-07-14T06:48:25.70" personId="{D148DF23-0E8B-4BDB-A073-D1BB24C69962}" id="{0E331C75-4A34-402F-BD71-26576DD87589}">
    <text>student asked permission because he not feeling well.</text>
  </threadedComment>
  <threadedComment ref="O13" dT="2025-07-29T08:08:38.46" personId="{C26EBE42-EEB1-418C-9DAA-1751A844B8E4}" id="{FE2FDA85-A479-499E-AEBF-798810501DC3}">
    <text>Asked Permission</text>
  </threadedComment>
  <threadedComment ref="O15" dT="2025-07-29T08:05:05.16" personId="{C26EBE42-EEB1-418C-9DAA-1751A844B8E4}" id="{6843F825-9DD9-4A63-8EAF-55F4CA6B80FC}">
    <text>Asked Permission</text>
  </threadedComment>
  <threadedComment ref="O16" dT="2025-07-29T08:04:31.72" personId="{C26EBE42-EEB1-418C-9DAA-1751A844B8E4}" id="{BDA62589-3506-408C-90BC-2F1ECB4B12BB}">
    <text>Asked Permission</text>
  </threadedComment>
  <threadedComment ref="AC16" dT="2025-09-27T07:16:32.35" personId="{FB8C0708-C4A5-469B-9FFA-67502CBEB96E}" id="{DBCF2E18-FA74-424A-B55D-5634657F0B85}">
    <text> Attending a workshop</text>
  </threadedComment>
  <threadedComment ref="AB17" dT="2025-09-27T06:27:48.22" personId="{E193429D-95C7-4F86-8233-7552E7D0E02B}" id="{DAC2C538-4A31-49EB-8AA6-88ACCBD876A1}">
    <text>urgent matter and need to go to the province</text>
  </threadedComment>
  <threadedComment ref="B18" dT="2025-07-29T08:12:49.27" personId="{C26EBE42-EEB1-418C-9DAA-1751A844B8E4}" id="{EAB88337-1FCF-4BFC-9247-5E7AC4C9A2D2}">
    <text>participating in a 1 month workshop in China</text>
  </threadedComment>
  <threadedComment ref="X19" dT="2025-08-25T01:16:43.98" personId="{C26EBE42-EEB1-418C-9DAA-1751A844B8E4}" id="{270A5403-7FC6-49F4-A6C3-4049C79BCDE9}">
    <text>Ask permission because he going to hometown</text>
  </threadedComment>
  <threadedComment ref="AB19" dT="2025-09-27T06:27:11.81" personId="{E193429D-95C7-4F86-8233-7552E7D0E02B}" id="{1A5FC4DF-0DBE-42E9-AB57-84ACD85936C2}">
    <text>mission on province.</text>
  </threadedComment>
  <threadedComment ref="P23" dT="2025-07-30T02:31:06.30" personId="{C26EBE42-EEB1-418C-9DAA-1751A844B8E4}" id="{D4343507-1034-41FB-9566-122BEDDC67B6}">
    <text>Informed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1"/>
  <sheetViews>
    <sheetView tabSelected="1" workbookViewId="0">
      <pane xSplit="4" topLeftCell="E1" activePane="topRight" state="frozen"/>
      <selection pane="topRight" activeCell="B11" sqref="B11"/>
    </sheetView>
  </sheetViews>
  <sheetFormatPr defaultColWidth="14.42578125" defaultRowHeight="15" customHeight="1"/>
  <cols>
    <col min="1" max="1" width="4.42578125" customWidth="1"/>
    <col min="2" max="2" width="28.7109375" customWidth="1"/>
    <col min="3" max="3" width="4.7109375" customWidth="1"/>
    <col min="4" max="4" width="8.7109375" customWidth="1"/>
    <col min="5" max="10" width="8.140625" customWidth="1"/>
    <col min="11" max="38" width="6.42578125" customWidth="1"/>
  </cols>
  <sheetData>
    <row r="1" spans="1:38" ht="14.25" customHeight="1">
      <c r="A1" s="1"/>
      <c r="B1" s="1"/>
      <c r="C1" s="1"/>
      <c r="D1" s="1"/>
      <c r="E1" s="38" t="s">
        <v>0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1"/>
      <c r="AJ1" s="1"/>
      <c r="AK1" s="1"/>
      <c r="AL1" s="1"/>
    </row>
    <row r="2" spans="1:38" ht="14.25" customHeight="1">
      <c r="A2" s="1"/>
      <c r="B2" s="1"/>
      <c r="C2" s="1"/>
      <c r="D2" s="1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1"/>
      <c r="AJ2" s="1"/>
      <c r="AK2" s="1"/>
      <c r="AL2" s="1"/>
    </row>
    <row r="3" spans="1:38" ht="14.25" customHeight="1">
      <c r="A3" s="1"/>
      <c r="B3" s="1"/>
      <c r="C3" s="1"/>
      <c r="D3" s="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1"/>
      <c r="AJ3" s="1"/>
      <c r="AK3" s="1"/>
      <c r="AL3" s="1"/>
    </row>
    <row r="4" spans="1:38" ht="14.25" customHeight="1">
      <c r="A4" s="1"/>
      <c r="B4" s="1"/>
      <c r="C4" s="1"/>
      <c r="D4" s="1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1"/>
      <c r="AJ4" s="1"/>
      <c r="AK4" s="1"/>
      <c r="AL4" s="1"/>
    </row>
    <row r="5" spans="1:38" ht="14.25" customHeight="1">
      <c r="A5" s="1"/>
      <c r="B5" s="1"/>
      <c r="C5" s="1"/>
      <c r="D5" s="1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1"/>
      <c r="AJ5" s="1"/>
      <c r="AK5" s="1"/>
      <c r="AL5" s="1"/>
    </row>
    <row r="6" spans="1:38" ht="39.75" customHeight="1">
      <c r="A6" s="2"/>
      <c r="B6" s="2"/>
      <c r="C6" s="2"/>
      <c r="D6" s="2"/>
      <c r="E6" s="39" t="s">
        <v>1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2"/>
      <c r="AJ6" s="2"/>
      <c r="AK6" s="2"/>
      <c r="AL6" s="2"/>
    </row>
    <row r="7" spans="1:38" ht="9.7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4.25" customHeight="1">
      <c r="A8" s="40" t="s">
        <v>2</v>
      </c>
      <c r="B8" s="45"/>
      <c r="C8" s="45"/>
      <c r="D8" s="46"/>
      <c r="E8" s="5">
        <v>45829</v>
      </c>
      <c r="F8" s="5">
        <v>45829</v>
      </c>
      <c r="G8" s="5">
        <v>45836</v>
      </c>
      <c r="H8" s="5">
        <v>45836</v>
      </c>
      <c r="I8" s="5">
        <v>45843</v>
      </c>
      <c r="J8" s="5">
        <v>45843</v>
      </c>
      <c r="K8" s="5">
        <v>45850</v>
      </c>
      <c r="L8" s="5">
        <v>45850</v>
      </c>
      <c r="M8" s="5">
        <v>45857</v>
      </c>
      <c r="N8" s="5">
        <v>45857</v>
      </c>
      <c r="O8" s="5">
        <v>45864</v>
      </c>
      <c r="P8" s="5">
        <v>45864</v>
      </c>
      <c r="Q8" s="5">
        <v>45871</v>
      </c>
      <c r="R8" s="5">
        <v>45871</v>
      </c>
      <c r="S8" s="5">
        <v>45878</v>
      </c>
      <c r="T8" s="5">
        <v>45878</v>
      </c>
      <c r="U8" s="5">
        <v>45885</v>
      </c>
      <c r="V8" s="5">
        <v>45885</v>
      </c>
      <c r="W8" s="5">
        <v>45892</v>
      </c>
      <c r="X8" s="5">
        <v>45892</v>
      </c>
      <c r="Y8" s="5">
        <v>45906</v>
      </c>
      <c r="Z8" s="5">
        <v>45906</v>
      </c>
      <c r="AA8" s="5">
        <v>45913</v>
      </c>
      <c r="AB8" s="5">
        <v>45913</v>
      </c>
      <c r="AC8" s="5">
        <v>45927</v>
      </c>
      <c r="AD8" s="5">
        <v>45927</v>
      </c>
      <c r="AE8" s="5">
        <v>45934</v>
      </c>
      <c r="AF8" s="5">
        <v>45934</v>
      </c>
      <c r="AG8" s="5">
        <v>45941</v>
      </c>
      <c r="AH8" s="5">
        <v>45941</v>
      </c>
      <c r="AI8" s="41" t="s">
        <v>3</v>
      </c>
      <c r="AJ8" s="45"/>
      <c r="AK8" s="45"/>
      <c r="AL8" s="46"/>
    </row>
    <row r="9" spans="1:38" ht="14.25" customHeight="1">
      <c r="A9" s="6" t="s">
        <v>4</v>
      </c>
      <c r="B9" s="6" t="s">
        <v>5</v>
      </c>
      <c r="C9" s="6" t="s">
        <v>6</v>
      </c>
      <c r="D9" s="6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  <c r="AE9" s="7" t="s">
        <v>34</v>
      </c>
      <c r="AF9" s="7" t="s">
        <v>35</v>
      </c>
      <c r="AG9" s="7" t="s">
        <v>36</v>
      </c>
      <c r="AH9" s="7" t="s">
        <v>37</v>
      </c>
      <c r="AI9" s="6" t="s">
        <v>38</v>
      </c>
      <c r="AJ9" s="6" t="s">
        <v>39</v>
      </c>
      <c r="AK9" s="6" t="s">
        <v>40</v>
      </c>
      <c r="AL9" s="6" t="s">
        <v>41</v>
      </c>
    </row>
    <row r="10" spans="1:38" ht="14.25" customHeight="1">
      <c r="A10" s="8">
        <v>1</v>
      </c>
      <c r="B10" s="43" t="s">
        <v>42</v>
      </c>
      <c r="C10" s="9" t="s">
        <v>43</v>
      </c>
      <c r="D10" s="9" t="s">
        <v>44</v>
      </c>
      <c r="E10" s="20" t="s">
        <v>38</v>
      </c>
      <c r="F10" s="21" t="s">
        <v>38</v>
      </c>
      <c r="G10" s="22" t="s">
        <v>41</v>
      </c>
      <c r="H10" s="22" t="s">
        <v>41</v>
      </c>
      <c r="I10" s="21" t="s">
        <v>38</v>
      </c>
      <c r="J10" s="21" t="s">
        <v>38</v>
      </c>
      <c r="K10" s="21" t="s">
        <v>38</v>
      </c>
      <c r="L10" s="21" t="s">
        <v>38</v>
      </c>
      <c r="M10" s="22" t="s">
        <v>41</v>
      </c>
      <c r="N10" s="22" t="s">
        <v>41</v>
      </c>
      <c r="O10" s="21" t="s">
        <v>38</v>
      </c>
      <c r="P10" s="21" t="s">
        <v>38</v>
      </c>
      <c r="Q10" s="22" t="s">
        <v>39</v>
      </c>
      <c r="R10" s="22" t="s">
        <v>39</v>
      </c>
      <c r="S10" s="22" t="s">
        <v>41</v>
      </c>
      <c r="T10" s="22" t="s">
        <v>41</v>
      </c>
      <c r="U10" s="22" t="s">
        <v>39</v>
      </c>
      <c r="V10" s="22" t="s">
        <v>39</v>
      </c>
      <c r="W10" s="22" t="s">
        <v>41</v>
      </c>
      <c r="X10" s="22" t="s">
        <v>41</v>
      </c>
      <c r="Y10" s="10" t="s">
        <v>39</v>
      </c>
      <c r="Z10" s="10" t="s">
        <v>39</v>
      </c>
      <c r="AA10" s="21" t="s">
        <v>38</v>
      </c>
      <c r="AB10" s="21" t="s">
        <v>38</v>
      </c>
      <c r="AC10" s="10" t="s">
        <v>39</v>
      </c>
      <c r="AD10" s="10" t="s">
        <v>39</v>
      </c>
      <c r="AE10" s="21" t="s">
        <v>38</v>
      </c>
      <c r="AF10" s="21" t="s">
        <v>38</v>
      </c>
      <c r="AG10" s="10" t="s">
        <v>39</v>
      </c>
      <c r="AH10" s="10" t="s">
        <v>39</v>
      </c>
      <c r="AI10" s="11">
        <f t="shared" ref="AI10:AI23" si="0">COUNTIF(E10:AH10,"P")</f>
        <v>12</v>
      </c>
      <c r="AJ10" s="11">
        <f>COUNTIF(E10:AH10,"E")</f>
        <v>10</v>
      </c>
      <c r="AK10" s="11">
        <f>COUNTIF(E10:AH10,"L")</f>
        <v>0</v>
      </c>
      <c r="AL10" s="11">
        <f t="shared" ref="AL10:AL23" si="1">COUNTIF(E10:AH10,"A")</f>
        <v>8</v>
      </c>
    </row>
    <row r="11" spans="1:38" ht="14.25" customHeight="1">
      <c r="A11" s="37">
        <v>2</v>
      </c>
      <c r="B11" s="43" t="s">
        <v>45</v>
      </c>
      <c r="C11" s="9" t="s">
        <v>46</v>
      </c>
      <c r="D11" s="9" t="s">
        <v>44</v>
      </c>
      <c r="E11" s="23" t="s">
        <v>38</v>
      </c>
      <c r="F11" s="24" t="s">
        <v>38</v>
      </c>
      <c r="G11" s="25" t="s">
        <v>39</v>
      </c>
      <c r="H11" s="25" t="s">
        <v>39</v>
      </c>
      <c r="I11" s="22" t="s">
        <v>41</v>
      </c>
      <c r="J11" s="22" t="s">
        <v>41</v>
      </c>
      <c r="K11" s="22" t="s">
        <v>41</v>
      </c>
      <c r="L11" s="22" t="s">
        <v>41</v>
      </c>
      <c r="M11" s="22" t="s">
        <v>41</v>
      </c>
      <c r="N11" s="22" t="s">
        <v>41</v>
      </c>
      <c r="O11" s="22" t="s">
        <v>41</v>
      </c>
      <c r="P11" s="22" t="s">
        <v>41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1">
        <f t="shared" si="0"/>
        <v>2</v>
      </c>
      <c r="AJ11" s="11">
        <f t="shared" ref="AJ10:AJ23" si="2">COUNTIF(E11:AH11,"E")</f>
        <v>2</v>
      </c>
      <c r="AK11" s="11">
        <f t="shared" ref="AK11:AK22" si="3">COUNTIF(E11:AH11,"L")</f>
        <v>0</v>
      </c>
      <c r="AL11" s="11">
        <f t="shared" si="1"/>
        <v>8</v>
      </c>
    </row>
    <row r="12" spans="1:38" ht="14.25" customHeight="1">
      <c r="A12" s="8">
        <v>3</v>
      </c>
      <c r="B12" s="43" t="s">
        <v>47</v>
      </c>
      <c r="C12" s="9" t="s">
        <v>46</v>
      </c>
      <c r="D12" s="9" t="s">
        <v>44</v>
      </c>
      <c r="E12" s="26" t="s">
        <v>41</v>
      </c>
      <c r="F12" s="27" t="s">
        <v>41</v>
      </c>
      <c r="G12" s="24" t="s">
        <v>38</v>
      </c>
      <c r="H12" s="24" t="s">
        <v>38</v>
      </c>
      <c r="I12" s="28" t="s">
        <v>40</v>
      </c>
      <c r="J12" s="24" t="s">
        <v>38</v>
      </c>
      <c r="K12" s="24" t="s">
        <v>38</v>
      </c>
      <c r="L12" s="24" t="s">
        <v>38</v>
      </c>
      <c r="M12" s="24" t="s">
        <v>38</v>
      </c>
      <c r="N12" s="24" t="s">
        <v>38</v>
      </c>
      <c r="O12" s="21" t="s">
        <v>38</v>
      </c>
      <c r="P12" s="21" t="s">
        <v>38</v>
      </c>
      <c r="Q12" s="21" t="s">
        <v>38</v>
      </c>
      <c r="R12" s="21" t="s">
        <v>38</v>
      </c>
      <c r="S12" s="21" t="s">
        <v>38</v>
      </c>
      <c r="T12" s="21" t="s">
        <v>38</v>
      </c>
      <c r="U12" s="21" t="s">
        <v>38</v>
      </c>
      <c r="V12" s="21" t="s">
        <v>38</v>
      </c>
      <c r="W12" s="21" t="s">
        <v>38</v>
      </c>
      <c r="X12" s="21" t="s">
        <v>38</v>
      </c>
      <c r="Y12" s="21" t="s">
        <v>38</v>
      </c>
      <c r="Z12" s="21" t="s">
        <v>38</v>
      </c>
      <c r="AA12" s="10" t="s">
        <v>39</v>
      </c>
      <c r="AB12" s="10" t="s">
        <v>39</v>
      </c>
      <c r="AC12" s="21" t="s">
        <v>38</v>
      </c>
      <c r="AD12" s="21" t="s">
        <v>38</v>
      </c>
      <c r="AE12" s="21" t="s">
        <v>39</v>
      </c>
      <c r="AF12" s="21" t="s">
        <v>39</v>
      </c>
      <c r="AG12" s="21" t="s">
        <v>38</v>
      </c>
      <c r="AH12" s="21" t="s">
        <v>38</v>
      </c>
      <c r="AI12" s="11">
        <f t="shared" si="0"/>
        <v>23</v>
      </c>
      <c r="AJ12" s="11">
        <f t="shared" si="2"/>
        <v>4</v>
      </c>
      <c r="AK12" s="11">
        <f t="shared" si="3"/>
        <v>1</v>
      </c>
      <c r="AL12" s="11">
        <f t="shared" si="1"/>
        <v>2</v>
      </c>
    </row>
    <row r="13" spans="1:38" ht="14.25" customHeight="1">
      <c r="A13" s="8">
        <v>4</v>
      </c>
      <c r="B13" s="43" t="s">
        <v>48</v>
      </c>
      <c r="C13" s="9" t="s">
        <v>43</v>
      </c>
      <c r="D13" s="9" t="s">
        <v>44</v>
      </c>
      <c r="E13" s="26" t="s">
        <v>41</v>
      </c>
      <c r="F13" s="27" t="s">
        <v>41</v>
      </c>
      <c r="G13" s="25" t="s">
        <v>39</v>
      </c>
      <c r="H13" s="25" t="s">
        <v>39</v>
      </c>
      <c r="I13" s="24" t="s">
        <v>38</v>
      </c>
      <c r="J13" s="24" t="s">
        <v>38</v>
      </c>
      <c r="K13" s="22" t="s">
        <v>39</v>
      </c>
      <c r="L13" s="22" t="s">
        <v>39</v>
      </c>
      <c r="M13" s="24" t="s">
        <v>38</v>
      </c>
      <c r="N13" s="24" t="s">
        <v>38</v>
      </c>
      <c r="O13" s="22" t="s">
        <v>39</v>
      </c>
      <c r="P13" s="22" t="s">
        <v>39</v>
      </c>
      <c r="Q13" s="21" t="s">
        <v>38</v>
      </c>
      <c r="R13" s="21" t="s">
        <v>38</v>
      </c>
      <c r="S13" s="22" t="s">
        <v>41</v>
      </c>
      <c r="T13" s="22" t="s">
        <v>41</v>
      </c>
      <c r="U13" s="21" t="s">
        <v>38</v>
      </c>
      <c r="V13" s="21" t="s">
        <v>38</v>
      </c>
      <c r="W13" s="21" t="s">
        <v>38</v>
      </c>
      <c r="X13" s="21" t="s">
        <v>38</v>
      </c>
      <c r="Y13" s="21" t="s">
        <v>38</v>
      </c>
      <c r="Z13" s="21" t="s">
        <v>38</v>
      </c>
      <c r="AA13" s="10" t="s">
        <v>40</v>
      </c>
      <c r="AB13" s="21" t="s">
        <v>38</v>
      </c>
      <c r="AC13" s="22" t="s">
        <v>41</v>
      </c>
      <c r="AD13" s="22" t="s">
        <v>41</v>
      </c>
      <c r="AE13" s="22" t="s">
        <v>41</v>
      </c>
      <c r="AF13" s="22" t="s">
        <v>41</v>
      </c>
      <c r="AG13" s="22" t="s">
        <v>41</v>
      </c>
      <c r="AH13" s="22" t="s">
        <v>41</v>
      </c>
      <c r="AI13" s="11">
        <f t="shared" si="0"/>
        <v>13</v>
      </c>
      <c r="AJ13" s="11">
        <f t="shared" si="2"/>
        <v>6</v>
      </c>
      <c r="AK13" s="11">
        <f t="shared" si="3"/>
        <v>1</v>
      </c>
      <c r="AL13" s="11">
        <f t="shared" si="1"/>
        <v>10</v>
      </c>
    </row>
    <row r="14" spans="1:38" ht="14.25" customHeight="1">
      <c r="A14" s="8">
        <v>5</v>
      </c>
      <c r="B14" s="43" t="s">
        <v>49</v>
      </c>
      <c r="C14" s="9" t="s">
        <v>43</v>
      </c>
      <c r="D14" s="9" t="s">
        <v>44</v>
      </c>
      <c r="E14" s="23" t="s">
        <v>38</v>
      </c>
      <c r="F14" s="24" t="s">
        <v>38</v>
      </c>
      <c r="G14" s="25" t="s">
        <v>39</v>
      </c>
      <c r="H14" s="25" t="s">
        <v>39</v>
      </c>
      <c r="I14" s="24" t="s">
        <v>38</v>
      </c>
      <c r="J14" s="24" t="s">
        <v>38</v>
      </c>
      <c r="K14" s="24" t="s">
        <v>38</v>
      </c>
      <c r="L14" s="24" t="s">
        <v>38</v>
      </c>
      <c r="M14" s="24" t="s">
        <v>38</v>
      </c>
      <c r="N14" s="24" t="s">
        <v>38</v>
      </c>
      <c r="O14" s="21" t="s">
        <v>38</v>
      </c>
      <c r="P14" s="21" t="s">
        <v>38</v>
      </c>
      <c r="Q14" s="21" t="s">
        <v>38</v>
      </c>
      <c r="R14" s="21" t="s">
        <v>38</v>
      </c>
      <c r="S14" s="22" t="s">
        <v>41</v>
      </c>
      <c r="T14" s="22" t="s">
        <v>41</v>
      </c>
      <c r="U14" s="22" t="s">
        <v>41</v>
      </c>
      <c r="V14" s="22" t="s">
        <v>41</v>
      </c>
      <c r="W14" s="21" t="s">
        <v>38</v>
      </c>
      <c r="X14" s="21" t="s">
        <v>38</v>
      </c>
      <c r="Y14" s="10" t="s">
        <v>39</v>
      </c>
      <c r="Z14" s="10" t="s">
        <v>39</v>
      </c>
      <c r="AA14" s="21" t="s">
        <v>38</v>
      </c>
      <c r="AB14" s="21" t="s">
        <v>38</v>
      </c>
      <c r="AC14" s="10" t="s">
        <v>40</v>
      </c>
      <c r="AD14" s="21" t="s">
        <v>38</v>
      </c>
      <c r="AE14" s="21" t="s">
        <v>38</v>
      </c>
      <c r="AF14" s="21" t="s">
        <v>38</v>
      </c>
      <c r="AG14" s="21" t="s">
        <v>38</v>
      </c>
      <c r="AH14" s="21" t="s">
        <v>38</v>
      </c>
      <c r="AI14" s="11">
        <f t="shared" si="0"/>
        <v>21</v>
      </c>
      <c r="AJ14" s="11">
        <f t="shared" si="2"/>
        <v>4</v>
      </c>
      <c r="AK14" s="11">
        <f t="shared" si="3"/>
        <v>1</v>
      </c>
      <c r="AL14" s="11">
        <f t="shared" si="1"/>
        <v>4</v>
      </c>
    </row>
    <row r="15" spans="1:38" ht="14.25" customHeight="1">
      <c r="A15" s="8">
        <v>6</v>
      </c>
      <c r="B15" s="43" t="s">
        <v>50</v>
      </c>
      <c r="C15" s="12" t="s">
        <v>43</v>
      </c>
      <c r="D15" s="12" t="s">
        <v>44</v>
      </c>
      <c r="E15" s="23" t="s">
        <v>38</v>
      </c>
      <c r="F15" s="24" t="s">
        <v>38</v>
      </c>
      <c r="G15" s="24" t="s">
        <v>38</v>
      </c>
      <c r="H15" s="24" t="s">
        <v>38</v>
      </c>
      <c r="I15" s="24" t="s">
        <v>38</v>
      </c>
      <c r="J15" s="24" t="s">
        <v>38</v>
      </c>
      <c r="K15" s="24" t="s">
        <v>38</v>
      </c>
      <c r="L15" s="24" t="s">
        <v>38</v>
      </c>
      <c r="M15" s="24" t="s">
        <v>38</v>
      </c>
      <c r="N15" s="24" t="s">
        <v>38</v>
      </c>
      <c r="O15" s="22" t="s">
        <v>39</v>
      </c>
      <c r="P15" s="22" t="s">
        <v>39</v>
      </c>
      <c r="Q15" s="21" t="s">
        <v>38</v>
      </c>
      <c r="R15" s="21" t="s">
        <v>38</v>
      </c>
      <c r="S15" s="10" t="s">
        <v>39</v>
      </c>
      <c r="T15" s="10" t="s">
        <v>39</v>
      </c>
      <c r="U15" s="21" t="s">
        <v>38</v>
      </c>
      <c r="V15" s="21" t="s">
        <v>38</v>
      </c>
      <c r="W15" s="21" t="s">
        <v>38</v>
      </c>
      <c r="X15" s="21" t="s">
        <v>38</v>
      </c>
      <c r="Y15" s="21" t="s">
        <v>38</v>
      </c>
      <c r="Z15" s="21" t="s">
        <v>38</v>
      </c>
      <c r="AA15" s="21" t="s">
        <v>38</v>
      </c>
      <c r="AB15" s="21" t="s">
        <v>38</v>
      </c>
      <c r="AC15" s="10" t="s">
        <v>40</v>
      </c>
      <c r="AD15" s="21" t="s">
        <v>38</v>
      </c>
      <c r="AE15" s="21" t="s">
        <v>38</v>
      </c>
      <c r="AF15" s="21" t="s">
        <v>38</v>
      </c>
      <c r="AG15" s="21" t="s">
        <v>38</v>
      </c>
      <c r="AH15" s="21" t="s">
        <v>38</v>
      </c>
      <c r="AI15" s="11">
        <f t="shared" si="0"/>
        <v>25</v>
      </c>
      <c r="AJ15" s="11">
        <f t="shared" si="2"/>
        <v>4</v>
      </c>
      <c r="AK15" s="11">
        <f t="shared" si="3"/>
        <v>1</v>
      </c>
      <c r="AL15" s="11">
        <f t="shared" si="1"/>
        <v>0</v>
      </c>
    </row>
    <row r="16" spans="1:38" ht="14.25" customHeight="1">
      <c r="A16" s="8">
        <v>7</v>
      </c>
      <c r="B16" s="43" t="s">
        <v>51</v>
      </c>
      <c r="C16" s="12" t="s">
        <v>43</v>
      </c>
      <c r="D16" s="12" t="s">
        <v>44</v>
      </c>
      <c r="E16" s="29" t="s">
        <v>40</v>
      </c>
      <c r="F16" s="24" t="s">
        <v>38</v>
      </c>
      <c r="G16" s="24" t="s">
        <v>38</v>
      </c>
      <c r="H16" s="24" t="s">
        <v>38</v>
      </c>
      <c r="I16" s="28" t="s">
        <v>40</v>
      </c>
      <c r="J16" s="24" t="s">
        <v>38</v>
      </c>
      <c r="K16" s="24" t="s">
        <v>38</v>
      </c>
      <c r="L16" s="24" t="s">
        <v>38</v>
      </c>
      <c r="M16" s="10" t="s">
        <v>39</v>
      </c>
      <c r="N16" s="10" t="s">
        <v>39</v>
      </c>
      <c r="O16" s="22" t="s">
        <v>39</v>
      </c>
      <c r="P16" s="22" t="s">
        <v>39</v>
      </c>
      <c r="Q16" s="21" t="s">
        <v>38</v>
      </c>
      <c r="R16" s="21" t="s">
        <v>38</v>
      </c>
      <c r="S16" s="21" t="s">
        <v>38</v>
      </c>
      <c r="T16" s="21" t="s">
        <v>38</v>
      </c>
      <c r="U16" s="22" t="s">
        <v>39</v>
      </c>
      <c r="V16" s="22" t="s">
        <v>39</v>
      </c>
      <c r="W16" s="10" t="s">
        <v>39</v>
      </c>
      <c r="X16" s="10" t="s">
        <v>39</v>
      </c>
      <c r="Y16" s="21" t="s">
        <v>38</v>
      </c>
      <c r="Z16" s="21" t="s">
        <v>38</v>
      </c>
      <c r="AA16" s="10" t="s">
        <v>40</v>
      </c>
      <c r="AB16" s="21" t="s">
        <v>38</v>
      </c>
      <c r="AC16" s="10" t="s">
        <v>39</v>
      </c>
      <c r="AD16" s="10" t="s">
        <v>39</v>
      </c>
      <c r="AE16" s="22" t="s">
        <v>41</v>
      </c>
      <c r="AF16" s="22" t="s">
        <v>41</v>
      </c>
      <c r="AG16" s="21" t="s">
        <v>38</v>
      </c>
      <c r="AH16" s="21" t="s">
        <v>38</v>
      </c>
      <c r="AI16" s="11">
        <f t="shared" si="0"/>
        <v>15</v>
      </c>
      <c r="AJ16" s="11">
        <f t="shared" si="2"/>
        <v>10</v>
      </c>
      <c r="AK16" s="11">
        <f t="shared" si="3"/>
        <v>3</v>
      </c>
      <c r="AL16" s="11">
        <f t="shared" si="1"/>
        <v>2</v>
      </c>
    </row>
    <row r="17" spans="1:38" ht="14.25" customHeight="1">
      <c r="A17" s="8">
        <v>8</v>
      </c>
      <c r="B17" s="43" t="s">
        <v>52</v>
      </c>
      <c r="C17" s="12" t="s">
        <v>43</v>
      </c>
      <c r="D17" s="12" t="s">
        <v>44</v>
      </c>
      <c r="E17" s="23" t="s">
        <v>38</v>
      </c>
      <c r="F17" s="24" t="s">
        <v>38</v>
      </c>
      <c r="G17" s="24" t="s">
        <v>38</v>
      </c>
      <c r="H17" s="24" t="s">
        <v>38</v>
      </c>
      <c r="I17" s="24" t="s">
        <v>38</v>
      </c>
      <c r="J17" s="24" t="s">
        <v>38</v>
      </c>
      <c r="K17" s="24" t="s">
        <v>38</v>
      </c>
      <c r="L17" s="24" t="s">
        <v>38</v>
      </c>
      <c r="M17" s="24" t="s">
        <v>38</v>
      </c>
      <c r="N17" s="24" t="s">
        <v>38</v>
      </c>
      <c r="O17" s="10" t="s">
        <v>39</v>
      </c>
      <c r="P17" s="10" t="s">
        <v>39</v>
      </c>
      <c r="Q17" s="21" t="s">
        <v>38</v>
      </c>
      <c r="R17" s="21" t="s">
        <v>38</v>
      </c>
      <c r="S17" s="21" t="s">
        <v>38</v>
      </c>
      <c r="T17" s="21" t="s">
        <v>38</v>
      </c>
      <c r="U17" s="21" t="s">
        <v>38</v>
      </c>
      <c r="V17" s="21" t="s">
        <v>38</v>
      </c>
      <c r="W17" s="21" t="s">
        <v>38</v>
      </c>
      <c r="X17" s="21" t="s">
        <v>38</v>
      </c>
      <c r="Y17" s="21" t="s">
        <v>38</v>
      </c>
      <c r="Z17" s="21" t="s">
        <v>38</v>
      </c>
      <c r="AA17" s="10" t="s">
        <v>39</v>
      </c>
      <c r="AB17" s="10" t="s">
        <v>39</v>
      </c>
      <c r="AC17" s="21" t="s">
        <v>38</v>
      </c>
      <c r="AD17" s="21" t="s">
        <v>38</v>
      </c>
      <c r="AE17" s="21" t="s">
        <v>38</v>
      </c>
      <c r="AF17" s="21" t="s">
        <v>38</v>
      </c>
      <c r="AG17" s="21" t="s">
        <v>38</v>
      </c>
      <c r="AH17" s="21" t="s">
        <v>38</v>
      </c>
      <c r="AI17" s="11">
        <f t="shared" si="0"/>
        <v>26</v>
      </c>
      <c r="AJ17" s="11">
        <f t="shared" si="2"/>
        <v>4</v>
      </c>
      <c r="AK17" s="11">
        <f t="shared" si="3"/>
        <v>0</v>
      </c>
      <c r="AL17" s="11">
        <f t="shared" si="1"/>
        <v>0</v>
      </c>
    </row>
    <row r="18" spans="1:38" ht="14.25" customHeight="1">
      <c r="A18" s="32">
        <v>9</v>
      </c>
      <c r="B18" s="43" t="s">
        <v>53</v>
      </c>
      <c r="C18" s="30" t="s">
        <v>43</v>
      </c>
      <c r="D18" s="30" t="s">
        <v>54</v>
      </c>
      <c r="E18" s="34"/>
      <c r="F18" s="35"/>
      <c r="G18" s="22" t="s">
        <v>41</v>
      </c>
      <c r="H18" s="22" t="s">
        <v>41</v>
      </c>
      <c r="I18" s="28" t="s">
        <v>40</v>
      </c>
      <c r="J18" s="24" t="s">
        <v>38</v>
      </c>
      <c r="K18" s="22" t="s">
        <v>39</v>
      </c>
      <c r="L18" s="22" t="s">
        <v>39</v>
      </c>
      <c r="M18" s="22" t="s">
        <v>39</v>
      </c>
      <c r="N18" s="22" t="s">
        <v>39</v>
      </c>
      <c r="O18" s="10" t="s">
        <v>39</v>
      </c>
      <c r="P18" s="10" t="s">
        <v>39</v>
      </c>
      <c r="Q18" s="10" t="s">
        <v>39</v>
      </c>
      <c r="R18" s="10" t="s">
        <v>39</v>
      </c>
      <c r="S18" s="10" t="s">
        <v>39</v>
      </c>
      <c r="T18" s="10" t="s">
        <v>39</v>
      </c>
      <c r="U18" s="10" t="s">
        <v>39</v>
      </c>
      <c r="V18" s="10" t="s">
        <v>39</v>
      </c>
      <c r="W18" s="21" t="s">
        <v>38</v>
      </c>
      <c r="X18" s="21" t="s">
        <v>38</v>
      </c>
      <c r="Y18" s="22" t="s">
        <v>41</v>
      </c>
      <c r="Z18" s="22" t="s">
        <v>41</v>
      </c>
      <c r="AA18" s="22" t="s">
        <v>41</v>
      </c>
      <c r="AB18" s="22" t="s">
        <v>41</v>
      </c>
      <c r="AC18" s="22" t="s">
        <v>41</v>
      </c>
      <c r="AD18" s="22" t="s">
        <v>41</v>
      </c>
      <c r="AE18" s="22" t="s">
        <v>41</v>
      </c>
      <c r="AF18" s="22" t="s">
        <v>41</v>
      </c>
      <c r="AG18" s="22" t="s">
        <v>41</v>
      </c>
      <c r="AH18" s="22" t="s">
        <v>41</v>
      </c>
      <c r="AI18" s="11">
        <f t="shared" si="0"/>
        <v>3</v>
      </c>
      <c r="AJ18" s="11">
        <f t="shared" si="2"/>
        <v>12</v>
      </c>
      <c r="AK18" s="11">
        <f t="shared" si="3"/>
        <v>1</v>
      </c>
      <c r="AL18" s="11">
        <f t="shared" si="1"/>
        <v>12</v>
      </c>
    </row>
    <row r="19" spans="1:38" ht="14.25" customHeight="1">
      <c r="A19" s="33">
        <v>10</v>
      </c>
      <c r="B19" s="43" t="s">
        <v>55</v>
      </c>
      <c r="C19" s="31" t="s">
        <v>43</v>
      </c>
      <c r="D19" s="31" t="s">
        <v>56</v>
      </c>
      <c r="E19" s="34"/>
      <c r="F19" s="35"/>
      <c r="G19" s="24" t="s">
        <v>38</v>
      </c>
      <c r="H19" s="24" t="s">
        <v>38</v>
      </c>
      <c r="I19" s="24" t="s">
        <v>38</v>
      </c>
      <c r="J19" s="24" t="s">
        <v>38</v>
      </c>
      <c r="K19" s="24" t="s">
        <v>38</v>
      </c>
      <c r="L19" s="24" t="s">
        <v>38</v>
      </c>
      <c r="M19" s="24" t="s">
        <v>38</v>
      </c>
      <c r="N19" s="24" t="s">
        <v>38</v>
      </c>
      <c r="O19" s="21" t="s">
        <v>38</v>
      </c>
      <c r="P19" s="21" t="s">
        <v>38</v>
      </c>
      <c r="Q19" s="10" t="s">
        <v>39</v>
      </c>
      <c r="R19" s="10" t="s">
        <v>39</v>
      </c>
      <c r="S19" s="21" t="s">
        <v>38</v>
      </c>
      <c r="T19" s="21" t="s">
        <v>38</v>
      </c>
      <c r="U19" s="21" t="s">
        <v>38</v>
      </c>
      <c r="V19" s="21" t="s">
        <v>38</v>
      </c>
      <c r="W19" s="10" t="s">
        <v>39</v>
      </c>
      <c r="X19" s="10" t="s">
        <v>39</v>
      </c>
      <c r="Y19" s="21" t="s">
        <v>38</v>
      </c>
      <c r="Z19" s="21" t="s">
        <v>38</v>
      </c>
      <c r="AA19" s="10" t="s">
        <v>39</v>
      </c>
      <c r="AB19" s="10" t="s">
        <v>39</v>
      </c>
      <c r="AC19" s="22" t="s">
        <v>41</v>
      </c>
      <c r="AD19" s="22" t="s">
        <v>41</v>
      </c>
      <c r="AE19" s="21" t="s">
        <v>38</v>
      </c>
      <c r="AF19" s="21" t="s">
        <v>38</v>
      </c>
      <c r="AG19" s="21" t="s">
        <v>38</v>
      </c>
      <c r="AH19" s="21" t="s">
        <v>38</v>
      </c>
      <c r="AI19" s="11">
        <f t="shared" si="0"/>
        <v>20</v>
      </c>
      <c r="AJ19" s="11">
        <f t="shared" si="2"/>
        <v>6</v>
      </c>
      <c r="AK19" s="11">
        <f t="shared" si="3"/>
        <v>0</v>
      </c>
      <c r="AL19" s="11">
        <f t="shared" si="1"/>
        <v>2</v>
      </c>
    </row>
    <row r="20" spans="1:38" ht="14.25" customHeight="1">
      <c r="A20" s="33">
        <v>11</v>
      </c>
      <c r="B20" s="43" t="s">
        <v>57</v>
      </c>
      <c r="C20" s="31" t="s">
        <v>43</v>
      </c>
      <c r="D20" s="31" t="s">
        <v>58</v>
      </c>
      <c r="E20" s="34"/>
      <c r="F20" s="35"/>
      <c r="G20" s="28" t="s">
        <v>40</v>
      </c>
      <c r="H20" s="24" t="s">
        <v>38</v>
      </c>
      <c r="I20" s="24" t="s">
        <v>38</v>
      </c>
      <c r="J20" s="24" t="s">
        <v>38</v>
      </c>
      <c r="K20" s="25" t="s">
        <v>39</v>
      </c>
      <c r="L20" s="25" t="s">
        <v>39</v>
      </c>
      <c r="M20" s="24" t="s">
        <v>38</v>
      </c>
      <c r="N20" s="24" t="s">
        <v>38</v>
      </c>
      <c r="O20" s="21" t="s">
        <v>38</v>
      </c>
      <c r="P20" s="21" t="s">
        <v>38</v>
      </c>
      <c r="Q20" s="21" t="s">
        <v>38</v>
      </c>
      <c r="R20" s="21" t="s">
        <v>38</v>
      </c>
      <c r="S20" s="21" t="s">
        <v>38</v>
      </c>
      <c r="T20" s="21" t="s">
        <v>38</v>
      </c>
      <c r="U20" s="21" t="s">
        <v>38</v>
      </c>
      <c r="V20" s="21" t="s">
        <v>38</v>
      </c>
      <c r="W20" s="21" t="s">
        <v>38</v>
      </c>
      <c r="X20" s="21" t="s">
        <v>38</v>
      </c>
      <c r="Y20" s="21" t="s">
        <v>38</v>
      </c>
      <c r="Z20" s="21" t="s">
        <v>38</v>
      </c>
      <c r="AA20" s="21" t="s">
        <v>38</v>
      </c>
      <c r="AB20" s="21" t="s">
        <v>38</v>
      </c>
      <c r="AC20" s="22" t="s">
        <v>41</v>
      </c>
      <c r="AD20" s="22" t="s">
        <v>41</v>
      </c>
      <c r="AE20" s="21" t="s">
        <v>38</v>
      </c>
      <c r="AF20" s="21" t="s">
        <v>38</v>
      </c>
      <c r="AG20" s="21" t="s">
        <v>38</v>
      </c>
      <c r="AH20" s="21" t="s">
        <v>38</v>
      </c>
      <c r="AI20" s="11">
        <f t="shared" si="0"/>
        <v>23</v>
      </c>
      <c r="AJ20" s="11">
        <f t="shared" si="2"/>
        <v>2</v>
      </c>
      <c r="AK20" s="11">
        <f t="shared" si="3"/>
        <v>1</v>
      </c>
      <c r="AL20" s="11">
        <f t="shared" si="1"/>
        <v>2</v>
      </c>
    </row>
    <row r="21" spans="1:38" ht="14.25" customHeight="1">
      <c r="A21" s="33">
        <v>12</v>
      </c>
      <c r="B21" s="43" t="s">
        <v>59</v>
      </c>
      <c r="C21" s="31" t="s">
        <v>43</v>
      </c>
      <c r="D21" s="31" t="s">
        <v>60</v>
      </c>
      <c r="E21" s="34"/>
      <c r="F21" s="35"/>
      <c r="G21" s="28" t="s">
        <v>40</v>
      </c>
      <c r="H21" s="24" t="s">
        <v>38</v>
      </c>
      <c r="I21" s="28" t="s">
        <v>40</v>
      </c>
      <c r="J21" s="24" t="s">
        <v>38</v>
      </c>
      <c r="K21" s="24" t="s">
        <v>38</v>
      </c>
      <c r="L21" s="24" t="s">
        <v>38</v>
      </c>
      <c r="M21" s="10" t="s">
        <v>39</v>
      </c>
      <c r="N21" s="10" t="s">
        <v>39</v>
      </c>
      <c r="O21" s="22" t="s">
        <v>41</v>
      </c>
      <c r="P21" s="22" t="s">
        <v>41</v>
      </c>
      <c r="Q21" s="21" t="s">
        <v>38</v>
      </c>
      <c r="R21" s="21" t="s">
        <v>38</v>
      </c>
      <c r="S21" s="21" t="s">
        <v>38</v>
      </c>
      <c r="T21" s="21" t="s">
        <v>38</v>
      </c>
      <c r="U21" s="21" t="s">
        <v>38</v>
      </c>
      <c r="V21" s="21" t="s">
        <v>38</v>
      </c>
      <c r="W21" s="21" t="s">
        <v>38</v>
      </c>
      <c r="X21" s="21" t="s">
        <v>38</v>
      </c>
      <c r="Y21" s="10" t="s">
        <v>39</v>
      </c>
      <c r="Z21" s="10" t="s">
        <v>39</v>
      </c>
      <c r="AA21" s="22" t="s">
        <v>41</v>
      </c>
      <c r="AB21" s="22" t="s">
        <v>41</v>
      </c>
      <c r="AC21" s="22" t="s">
        <v>41</v>
      </c>
      <c r="AD21" s="22" t="s">
        <v>41</v>
      </c>
      <c r="AE21" s="22" t="s">
        <v>41</v>
      </c>
      <c r="AF21" s="22" t="s">
        <v>41</v>
      </c>
      <c r="AG21" s="22" t="s">
        <v>41</v>
      </c>
      <c r="AH21" s="22" t="s">
        <v>41</v>
      </c>
      <c r="AI21" s="11">
        <f t="shared" si="0"/>
        <v>12</v>
      </c>
      <c r="AJ21" s="11">
        <f t="shared" si="2"/>
        <v>4</v>
      </c>
      <c r="AK21" s="11">
        <f t="shared" si="3"/>
        <v>2</v>
      </c>
      <c r="AL21" s="11">
        <f t="shared" si="1"/>
        <v>10</v>
      </c>
    </row>
    <row r="22" spans="1:38" ht="14.25" customHeight="1">
      <c r="A22" s="33">
        <v>13</v>
      </c>
      <c r="B22" s="43" t="s">
        <v>61</v>
      </c>
      <c r="C22" s="31" t="s">
        <v>46</v>
      </c>
      <c r="D22" s="31" t="s">
        <v>62</v>
      </c>
      <c r="E22" s="34"/>
      <c r="F22" s="35"/>
      <c r="G22" s="28" t="s">
        <v>40</v>
      </c>
      <c r="H22" s="24" t="s">
        <v>38</v>
      </c>
      <c r="I22" s="28" t="s">
        <v>40</v>
      </c>
      <c r="J22" s="24" t="s">
        <v>38</v>
      </c>
      <c r="K22" s="24" t="s">
        <v>38</v>
      </c>
      <c r="L22" s="24" t="s">
        <v>38</v>
      </c>
      <c r="M22" s="10" t="s">
        <v>39</v>
      </c>
      <c r="N22" s="10" t="s">
        <v>39</v>
      </c>
      <c r="O22" s="21" t="s">
        <v>38</v>
      </c>
      <c r="P22" s="21" t="s">
        <v>38</v>
      </c>
      <c r="Q22" s="10" t="s">
        <v>39</v>
      </c>
      <c r="R22" s="10" t="s">
        <v>39</v>
      </c>
      <c r="S22" s="22" t="s">
        <v>39</v>
      </c>
      <c r="T22" s="22" t="s">
        <v>39</v>
      </c>
      <c r="U22" s="22" t="s">
        <v>39</v>
      </c>
      <c r="V22" s="22" t="s">
        <v>39</v>
      </c>
      <c r="W22" s="21" t="s">
        <v>38</v>
      </c>
      <c r="X22" s="21" t="s">
        <v>38</v>
      </c>
      <c r="Y22" s="21" t="s">
        <v>38</v>
      </c>
      <c r="Z22" s="21" t="s">
        <v>38</v>
      </c>
      <c r="AA22" s="21" t="s">
        <v>38</v>
      </c>
      <c r="AB22" s="21" t="s">
        <v>38</v>
      </c>
      <c r="AC22" s="22" t="s">
        <v>41</v>
      </c>
      <c r="AD22" s="22" t="s">
        <v>41</v>
      </c>
      <c r="AE22" s="21" t="s">
        <v>38</v>
      </c>
      <c r="AF22" s="21" t="s">
        <v>38</v>
      </c>
      <c r="AG22" s="21" t="s">
        <v>38</v>
      </c>
      <c r="AH22" s="21" t="s">
        <v>38</v>
      </c>
      <c r="AI22" s="11">
        <f t="shared" si="0"/>
        <v>16</v>
      </c>
      <c r="AJ22" s="11">
        <f t="shared" si="2"/>
        <v>8</v>
      </c>
      <c r="AK22" s="11">
        <f t="shared" si="3"/>
        <v>2</v>
      </c>
      <c r="AL22" s="11">
        <f t="shared" si="1"/>
        <v>2</v>
      </c>
    </row>
    <row r="23" spans="1:38" ht="14.25" customHeight="1">
      <c r="A23" s="33">
        <v>15</v>
      </c>
      <c r="B23" s="43" t="s">
        <v>63</v>
      </c>
      <c r="C23" s="31" t="s">
        <v>43</v>
      </c>
      <c r="D23" s="31" t="s">
        <v>64</v>
      </c>
      <c r="E23" s="36"/>
      <c r="F23" s="36"/>
      <c r="G23" s="22" t="s">
        <v>41</v>
      </c>
      <c r="H23" s="22" t="s">
        <v>41</v>
      </c>
      <c r="I23" s="22" t="s">
        <v>41</v>
      </c>
      <c r="J23" s="22" t="s">
        <v>41</v>
      </c>
      <c r="K23" s="22" t="s">
        <v>41</v>
      </c>
      <c r="L23" s="22" t="s">
        <v>41</v>
      </c>
      <c r="M23" s="22" t="s">
        <v>41</v>
      </c>
      <c r="N23" s="22" t="s">
        <v>41</v>
      </c>
      <c r="O23" s="22" t="s">
        <v>41</v>
      </c>
      <c r="P23" s="22" t="s">
        <v>41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">
        <f t="shared" si="0"/>
        <v>0</v>
      </c>
      <c r="AJ23" s="11">
        <f t="shared" si="2"/>
        <v>0</v>
      </c>
      <c r="AK23" s="11"/>
      <c r="AL23" s="11">
        <f t="shared" si="1"/>
        <v>10</v>
      </c>
    </row>
    <row r="24" spans="1:38" ht="14.25" customHeight="1">
      <c r="A24" s="8"/>
      <c r="B24" s="13"/>
      <c r="C24" s="12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1"/>
      <c r="AJ24" s="11"/>
      <c r="AK24" s="11"/>
      <c r="AL24" s="11"/>
    </row>
    <row r="25" spans="1:38" ht="14.25" customHeight="1">
      <c r="A25" s="8"/>
      <c r="B25" s="15"/>
      <c r="C25" s="12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1"/>
      <c r="AJ25" s="11"/>
      <c r="AK25" s="11"/>
      <c r="AL25" s="11"/>
    </row>
    <row r="26" spans="1:38" ht="14.25" customHeight="1">
      <c r="A26" s="16" t="s">
        <v>65</v>
      </c>
      <c r="B26" s="17"/>
      <c r="C26" s="17"/>
      <c r="D26" s="17"/>
      <c r="E26" s="42" t="s">
        <v>66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17"/>
      <c r="AJ26" s="17"/>
      <c r="AK26" s="17"/>
      <c r="AL26" s="18"/>
    </row>
    <row r="27" spans="1:38" ht="6.75" customHeight="1">
      <c r="D27" s="19"/>
    </row>
    <row r="28" spans="1:38" ht="14.25" customHeight="1">
      <c r="D28" s="14" t="s">
        <v>38</v>
      </c>
      <c r="E28" s="14">
        <f t="shared" ref="E28:AH28" si="4">COUNTIF(E10:E17,"P")</f>
        <v>5</v>
      </c>
      <c r="F28" s="14">
        <f t="shared" si="4"/>
        <v>6</v>
      </c>
      <c r="G28" s="14">
        <f t="shared" si="4"/>
        <v>4</v>
      </c>
      <c r="H28" s="14">
        <f t="shared" si="4"/>
        <v>4</v>
      </c>
      <c r="I28" s="14">
        <f t="shared" si="4"/>
        <v>5</v>
      </c>
      <c r="J28" s="14">
        <f t="shared" si="4"/>
        <v>7</v>
      </c>
      <c r="K28" s="14">
        <f t="shared" si="4"/>
        <v>6</v>
      </c>
      <c r="L28" s="14">
        <f t="shared" si="4"/>
        <v>6</v>
      </c>
      <c r="M28" s="14">
        <f t="shared" si="4"/>
        <v>5</v>
      </c>
      <c r="N28" s="14">
        <f t="shared" si="4"/>
        <v>5</v>
      </c>
      <c r="O28" s="14">
        <f t="shared" si="4"/>
        <v>3</v>
      </c>
      <c r="P28" s="14">
        <f t="shared" si="4"/>
        <v>3</v>
      </c>
      <c r="Q28" s="14">
        <f t="shared" si="4"/>
        <v>6</v>
      </c>
      <c r="R28" s="14">
        <f t="shared" si="4"/>
        <v>6</v>
      </c>
      <c r="S28" s="14">
        <f t="shared" si="4"/>
        <v>3</v>
      </c>
      <c r="T28" s="14">
        <f t="shared" si="4"/>
        <v>3</v>
      </c>
      <c r="U28" s="14">
        <f t="shared" si="4"/>
        <v>4</v>
      </c>
      <c r="V28" s="14">
        <f t="shared" si="4"/>
        <v>4</v>
      </c>
      <c r="W28" s="14">
        <f t="shared" si="4"/>
        <v>5</v>
      </c>
      <c r="X28" s="14">
        <f t="shared" si="4"/>
        <v>5</v>
      </c>
      <c r="Y28" s="14">
        <f t="shared" si="4"/>
        <v>5</v>
      </c>
      <c r="Z28" s="14">
        <f t="shared" si="4"/>
        <v>5</v>
      </c>
      <c r="AA28" s="14">
        <f t="shared" si="4"/>
        <v>3</v>
      </c>
      <c r="AB28" s="14">
        <f t="shared" si="4"/>
        <v>5</v>
      </c>
      <c r="AC28" s="14">
        <f t="shared" si="4"/>
        <v>2</v>
      </c>
      <c r="AD28" s="14">
        <f t="shared" si="4"/>
        <v>4</v>
      </c>
      <c r="AE28" s="14">
        <f t="shared" si="4"/>
        <v>4</v>
      </c>
      <c r="AF28" s="14">
        <f t="shared" si="4"/>
        <v>4</v>
      </c>
      <c r="AG28" s="14">
        <f t="shared" si="4"/>
        <v>5</v>
      </c>
      <c r="AH28" s="14">
        <f t="shared" si="4"/>
        <v>5</v>
      </c>
    </row>
    <row r="29" spans="1:38" ht="14.25" customHeight="1">
      <c r="D29" s="14" t="s">
        <v>39</v>
      </c>
      <c r="E29" s="14">
        <f t="shared" ref="E29:AH29" si="5">COUNTIF(E10:E17,"E")</f>
        <v>0</v>
      </c>
      <c r="F29" s="14">
        <f t="shared" si="5"/>
        <v>0</v>
      </c>
      <c r="G29" s="14">
        <f t="shared" si="5"/>
        <v>3</v>
      </c>
      <c r="H29" s="14">
        <f t="shared" si="5"/>
        <v>3</v>
      </c>
      <c r="I29" s="14">
        <f t="shared" si="5"/>
        <v>0</v>
      </c>
      <c r="J29" s="14">
        <f t="shared" si="5"/>
        <v>0</v>
      </c>
      <c r="K29" s="14">
        <f t="shared" si="5"/>
        <v>1</v>
      </c>
      <c r="L29" s="14">
        <f t="shared" si="5"/>
        <v>1</v>
      </c>
      <c r="M29" s="14">
        <f t="shared" si="5"/>
        <v>1</v>
      </c>
      <c r="N29" s="14">
        <f t="shared" si="5"/>
        <v>1</v>
      </c>
      <c r="O29" s="14">
        <f t="shared" si="5"/>
        <v>4</v>
      </c>
      <c r="P29" s="14">
        <f t="shared" si="5"/>
        <v>4</v>
      </c>
      <c r="Q29" s="14">
        <f t="shared" si="5"/>
        <v>1</v>
      </c>
      <c r="R29" s="14">
        <f t="shared" si="5"/>
        <v>1</v>
      </c>
      <c r="S29" s="14">
        <f t="shared" si="5"/>
        <v>1</v>
      </c>
      <c r="T29" s="14">
        <f t="shared" si="5"/>
        <v>1</v>
      </c>
      <c r="U29" s="14">
        <f t="shared" si="5"/>
        <v>2</v>
      </c>
      <c r="V29" s="14">
        <f t="shared" si="5"/>
        <v>2</v>
      </c>
      <c r="W29" s="14">
        <f t="shared" si="5"/>
        <v>1</v>
      </c>
      <c r="X29" s="14">
        <f t="shared" si="5"/>
        <v>1</v>
      </c>
      <c r="Y29" s="14">
        <f t="shared" si="5"/>
        <v>2</v>
      </c>
      <c r="Z29" s="14">
        <f t="shared" si="5"/>
        <v>2</v>
      </c>
      <c r="AA29" s="14">
        <f t="shared" si="5"/>
        <v>2</v>
      </c>
      <c r="AB29" s="14">
        <f t="shared" si="5"/>
        <v>2</v>
      </c>
      <c r="AC29" s="14">
        <f t="shared" si="5"/>
        <v>2</v>
      </c>
      <c r="AD29" s="14">
        <f t="shared" si="5"/>
        <v>2</v>
      </c>
      <c r="AE29" s="14">
        <f t="shared" si="5"/>
        <v>1</v>
      </c>
      <c r="AF29" s="14">
        <f t="shared" si="5"/>
        <v>1</v>
      </c>
      <c r="AG29" s="14">
        <f t="shared" si="5"/>
        <v>1</v>
      </c>
      <c r="AH29" s="14">
        <f t="shared" si="5"/>
        <v>1</v>
      </c>
    </row>
    <row r="30" spans="1:38" ht="14.25" customHeight="1">
      <c r="D30" s="14" t="s">
        <v>41</v>
      </c>
      <c r="E30" s="14">
        <f t="shared" ref="E30:AH30" si="6">COUNTIF(E10:E17,"A")</f>
        <v>2</v>
      </c>
      <c r="F30" s="14">
        <f t="shared" si="6"/>
        <v>2</v>
      </c>
      <c r="G30" s="14">
        <f t="shared" si="6"/>
        <v>1</v>
      </c>
      <c r="H30" s="14">
        <f t="shared" si="6"/>
        <v>1</v>
      </c>
      <c r="I30" s="14">
        <f t="shared" si="6"/>
        <v>1</v>
      </c>
      <c r="J30" s="14">
        <f t="shared" si="6"/>
        <v>1</v>
      </c>
      <c r="K30" s="14">
        <f t="shared" si="6"/>
        <v>1</v>
      </c>
      <c r="L30" s="14">
        <f t="shared" si="6"/>
        <v>1</v>
      </c>
      <c r="M30" s="14">
        <f t="shared" si="6"/>
        <v>2</v>
      </c>
      <c r="N30" s="14">
        <f t="shared" si="6"/>
        <v>2</v>
      </c>
      <c r="O30" s="14">
        <f t="shared" si="6"/>
        <v>1</v>
      </c>
      <c r="P30" s="14">
        <f t="shared" si="6"/>
        <v>1</v>
      </c>
      <c r="Q30" s="14">
        <f t="shared" si="6"/>
        <v>0</v>
      </c>
      <c r="R30" s="14">
        <f t="shared" si="6"/>
        <v>0</v>
      </c>
      <c r="S30" s="14">
        <f t="shared" si="6"/>
        <v>3</v>
      </c>
      <c r="T30" s="14">
        <f t="shared" si="6"/>
        <v>3</v>
      </c>
      <c r="U30" s="14">
        <f t="shared" si="6"/>
        <v>1</v>
      </c>
      <c r="V30" s="14">
        <f t="shared" si="6"/>
        <v>1</v>
      </c>
      <c r="W30" s="14">
        <f t="shared" si="6"/>
        <v>1</v>
      </c>
      <c r="X30" s="14">
        <f t="shared" si="6"/>
        <v>1</v>
      </c>
      <c r="Y30" s="14">
        <f t="shared" si="6"/>
        <v>0</v>
      </c>
      <c r="Z30" s="14">
        <f t="shared" si="6"/>
        <v>0</v>
      </c>
      <c r="AA30" s="14">
        <f t="shared" si="6"/>
        <v>0</v>
      </c>
      <c r="AB30" s="14">
        <f t="shared" si="6"/>
        <v>0</v>
      </c>
      <c r="AC30" s="14">
        <f t="shared" si="6"/>
        <v>1</v>
      </c>
      <c r="AD30" s="14">
        <f t="shared" si="6"/>
        <v>1</v>
      </c>
      <c r="AE30" s="14">
        <f t="shared" si="6"/>
        <v>2</v>
      </c>
      <c r="AF30" s="14">
        <f t="shared" si="6"/>
        <v>2</v>
      </c>
      <c r="AG30" s="14">
        <f t="shared" si="6"/>
        <v>1</v>
      </c>
      <c r="AH30" s="14">
        <f t="shared" si="6"/>
        <v>1</v>
      </c>
    </row>
    <row r="31" spans="1:38" ht="14.25" customHeight="1"/>
    <row r="32" spans="1:3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5">
    <mergeCell ref="E1:AH5"/>
    <mergeCell ref="E6:AH6"/>
    <mergeCell ref="A8:D8"/>
    <mergeCell ref="AI8:AL8"/>
    <mergeCell ref="E26:AH26"/>
  </mergeCells>
  <conditionalFormatting sqref="E10:AH23">
    <cfRule type="cellIs" dxfId="6" priority="1" operator="equal">
      <formula>"E"</formula>
    </cfRule>
    <cfRule type="cellIs" dxfId="5" priority="2" operator="equal">
      <formula>"P"</formula>
    </cfRule>
    <cfRule type="cellIs" dxfId="4" priority="3" operator="equal">
      <formula>"A"</formula>
    </cfRule>
  </conditionalFormatting>
  <dataValidations count="1">
    <dataValidation type="list" allowBlank="1" showErrorMessage="1" sqref="M21:N22 M16:N16 O17:P18 Q18:R19 Q22:R22 S15:T15 S18:V18 W19:X19 Q11:X11 W16:X16 Y21:Z21 Y10:Z11 Y14:Z14 AA16 AA19:AB19 AB11:AB12 AA11:AA13 AA17:AH17 AC14:AD16 AC10:AH12 AE14:AH15 AG16:AH16 AE19:AH20 AE22:AH22" xr:uid="{00000000-0002-0000-0000-000000000000}">
      <formula1>"P,E,A,០,L"</formula1>
    </dataValidation>
  </dataValidations>
  <printOptions horizontalCentered="1"/>
  <pageMargins left="0.23622047244094491" right="0.23622047244094491" top="0.23622047244094491" bottom="0.23622047244094491" header="0" footer="0"/>
  <pageSetup paperSize="9" fitToHeight="0" orientation="landscape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58A9B289063469BE04336DE235773" ma:contentTypeVersion="9" ma:contentTypeDescription="Create a new document." ma:contentTypeScope="" ma:versionID="5a2df236b8c77d00588fa208ad4b3c13">
  <xsd:schema xmlns:xsd="http://www.w3.org/2001/XMLSchema" xmlns:xs="http://www.w3.org/2001/XMLSchema" xmlns:p="http://schemas.microsoft.com/office/2006/metadata/properties" xmlns:ns2="6d203857-9991-4518-a1a2-8110fc6be8da" targetNamespace="http://schemas.microsoft.com/office/2006/metadata/properties" ma:root="true" ma:fieldsID="2b600674eb87e46e051f2a311ef7ec87" ns2:_="">
    <xsd:import namespace="6d203857-9991-4518-a1a2-8110fc6be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03857-9991-4518-a1a2-8110fc6be8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8d376f-c593-4006-955c-0e2186da0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03857-9991-4518-a1a2-8110fc6be8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27CF2-7FDD-4039-AC38-602BCD2BAA13}"/>
</file>

<file path=customXml/itemProps2.xml><?xml version="1.0" encoding="utf-8"?>
<ds:datastoreItem xmlns:ds="http://schemas.openxmlformats.org/officeDocument/2006/customXml" ds:itemID="{00A8542F-4870-469B-BC0F-A7A36A618599}"/>
</file>

<file path=customXml/itemProps3.xml><?xml version="1.0" encoding="utf-8"?>
<ds:datastoreItem xmlns:ds="http://schemas.openxmlformats.org/officeDocument/2006/customXml" ds:itemID="{367249C4-D492-4CC0-8B9A-6C97B063D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BDC Computer</dc:creator>
  <cp:keywords/>
  <dc:description/>
  <cp:lastModifiedBy>Vengleab So</cp:lastModifiedBy>
  <cp:revision/>
  <dcterms:created xsi:type="dcterms:W3CDTF">2025-01-31T09:20:55Z</dcterms:created>
  <dcterms:modified xsi:type="dcterms:W3CDTF">2025-11-01T08:18:20Z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0x010100F0858A9B289063469BE04336DE235773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activity">
    <vt:lpwstr>{"FileActivityType":"6","FileActivityTimeStamp":"2025-07-14T06:49:06.153Z","FileActivityUsersOnPage":[{"DisplayName":"Kheng Hath","Id":"kheng_hath@tuxglobalinstitute.edu.kh"}],"FileActivityNavigationId":null}</vt:lpwstr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